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rivers" sheetId="2" state="visible" r:id="rId4"/>
    <sheet name="Escalation" sheetId="3" state="visible" r:id="rId5"/>
    <sheet name="Unit economics" sheetId="4" state="visible" r:id="rId6"/>
    <sheet name="Penetration" sheetId="5" state="visible" r:id="rId7"/>
    <sheet name="Sources" sheetId="6" state="visible" r:id="rId8"/>
  </sheets>
  <definedNames>
    <definedName function="false" hidden="false" name="amberDaysPerAthleteMonth" vbProcedure="false">Drivers!$C$2</definedName>
    <definedName function="false" hidden="false" name="arrTargetUsd" vbProcedure="false">Drivers!$C$24</definedName>
    <definedName function="false" hidden="false" name="athletesPerClub" vbProcedure="false">Drivers!$C$21</definedName>
    <definedName function="false" hidden="false" name="coachLoading" vbProcedure="false">Drivers!$C$10</definedName>
    <definedName function="false" hidden="false" name="coachProgrammingHoursPerWeek" vbProcedure="false">Drivers!$C$12</definedName>
    <definedName function="false" hidden="false" name="esc_flexible" vbProcedure="false">Escalation!$D$14</definedName>
    <definedName function="false" hidden="false" name="esc_rigid" vbProcedure="false">Escalation!$D$16</definedName>
    <definedName function="false" hidden="false" name="esc_standard" vbProcedure="false">Escalation!$D$15</definedName>
    <definedName function="false" hidden="false" name="fxAedPerUsd" vbProcedure="false">Drivers!$C$28</definedName>
    <definedName function="false" hidden="false" name="hardShareOnAmber" vbProcedure="false">Drivers!$C$3</definedName>
    <definedName function="false" hidden="false" name="hyroxGyms" vbProcedure="false">Drivers!$C$22</definedName>
    <definedName function="false" hidden="false" name="infraPerAthleteMonthUsd" vbProcedure="false">Drivers!$C$18</definedName>
    <definedName function="false" hidden="false" name="llmCallsPerAthleteMonth" vbProcedure="false">Drivers!$C$15</definedName>
    <definedName function="false" hidden="false" name="llmProposalsPerAthleteMonth" vbProcedure="false">Drivers!$C$5</definedName>
    <definedName function="false" hidden="false" name="llmTokensInPerProposal" vbProcedure="false">Drivers!$C$13</definedName>
    <definedName function="false" hidden="false" name="llmTokensOutPerProposal" vbProcedure="false">Drivers!$C$14</definedName>
    <definedName function="false" hidden="false" name="manualMinutesPerAthleteWeek" vbProcedure="false">Drivers!$C$9</definedName>
    <definedName function="false" hidden="false" name="minutesPerEscalation" vbProcedure="false">Drivers!$C$7</definedName>
    <definedName function="false" hidden="false" name="painFlagsPerAthleteMonth" vbProcedure="false">Drivers!$C$4</definedName>
    <definedName function="false" hidden="false" name="paymentFeeRate" vbProcedure="false">Drivers!$C$20</definedName>
    <definedName function="false" hidden="false" name="priceInPer1M" vbProcedure="false">Drivers!$C$16</definedName>
    <definedName function="false" hidden="false" name="priceOutPer1M" vbProcedure="false">Drivers!$C$17</definedName>
    <definedName function="false" hidden="false" name="pricePerAthleteMonthUsd" vbProcedure="false">Drivers!$C$19</definedName>
    <definedName function="false" hidden="false" name="proposalRejectRate" vbProcedure="false">Drivers!$C$6</definedName>
    <definedName function="false" hidden="false" name="specialistPremium" vbProcedure="false">Drivers!$C$11</definedName>
    <definedName function="false" hidden="false" name="targetGrossMargin" vbProcedure="false">Drivers!$C$23</definedName>
    <definedName function="false" hidden="false" name="triageMinutesPerAthleteWeek" vbProcedure="false">Drivers!$C$8</definedName>
    <definedName function="false" hidden="false" name="uaeHoursPerMonth" vbProcedure="false">Drivers!$C$30</definedName>
    <definedName function="false" hidden="false" name="uaeMonthlyWageAed" vbProcedure="false">Drivers!$C$29</definedName>
    <definedName function="false" hidden="false" name="usHourlyWageUsd" vbProcedure="false">Drivers!$C$31</definedName>
    <definedName function="false" hidden="false" name="weeksPerMonth" vbProcedure="false">Drivers!$C$27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Source: evals/results/hybrid-latest.json, amber_escalation_by_schedule (CI). Simulation of the engine's own rules.</t>
        </r>
      </text>
    </comment>
  </commentList>
</comments>
</file>

<file path=xl/sharedStrings.xml><?xml version="1.0" encoding="utf-8"?>
<sst xmlns="http://schemas.openxmlformats.org/spreadsheetml/2006/main" count="367" uniqueCount="270">
  <si>
    <t xml:space="preserve">PolySync unit economics</t>
  </si>
  <si>
    <t xml:space="preserve">As of 2026-09-24. Generated from product/data/model.json by product/scripts/build_xlsx.py.</t>
  </si>
  <si>
    <t xml:space="preserve">Blue cells are inputs; black cells are formulas; green cells link to another sheet; yellow marks the drivers that swing club ROI most.</t>
  </si>
  <si>
    <t xml:space="preserve">Edit a blue cell on 'Drivers' (column C) and every sheet recalculates.</t>
  </si>
  <si>
    <t xml:space="preserve">B2B2C (ADR-001): the club's coaches review escalations, so coach time is the club's cost. 'Managed break-even' is the price PolySync would need if it employed the coaches.</t>
  </si>
  <si>
    <t xml:space="preserve">Escalation rates are simulated from the engine's own rules (evals/results/hybrid-latest.json); real rates are unmeasured (GAPS #14).</t>
  </si>
  <si>
    <t xml:space="preserve">Most drivers are hypotheses; each names the telemetry event or study that will replace it (see 'Drivers' column H).</t>
  </si>
  <si>
    <t xml:space="preserve">Id</t>
  </si>
  <si>
    <t xml:space="preserve">Driver</t>
  </si>
  <si>
    <t xml:space="preserve">Base</t>
  </si>
  <si>
    <t xml:space="preserve">Low</t>
  </si>
  <si>
    <t xml:space="preserve">High</t>
  </si>
  <si>
    <t xml:space="preserve">Unit</t>
  </si>
  <si>
    <t xml:space="preserve">Source type</t>
  </si>
  <si>
    <t xml:space="preserve">Source / measured by</t>
  </si>
  <si>
    <t xml:space="preserve">amberDaysPerAthleteMonth</t>
  </si>
  <si>
    <t xml:space="preserve">Amber-readiness days per athlete-month</t>
  </si>
  <si>
    <t xml:space="preserve">days</t>
  </si>
  <si>
    <t xml:space="preserve">Hypothesis</t>
  </si>
  <si>
    <t xml:space="preserve">Measured by event:readiness_band_recorded</t>
  </si>
  <si>
    <t xml:space="preserve">hardShareOnAmber</t>
  </si>
  <si>
    <t xml:space="preserve">Share of amber days with a hard session scheduled</t>
  </si>
  <si>
    <t xml:space="preserve">ratio</t>
  </si>
  <si>
    <t xml:space="preserve">Measured by event:adaptation_requested</t>
  </si>
  <si>
    <t xml:space="preserve">painFlagsPerAthleteMonth</t>
  </si>
  <si>
    <t xml:space="preserve">Pain or illness flags per athlete-month (always escalate)</t>
  </si>
  <si>
    <t xml:space="preserve">flags</t>
  </si>
  <si>
    <t xml:space="preserve">Measured by event:pain_flag_raised</t>
  </si>
  <si>
    <t xml:space="preserve">llmProposalsPerAthleteMonth</t>
  </si>
  <si>
    <t xml:space="preserve">Model proposals per athlete-month</t>
  </si>
  <si>
    <t xml:space="preserve">proposals</t>
  </si>
  <si>
    <t xml:space="preserve">Measured by event:adaptation_proposed</t>
  </si>
  <si>
    <t xml:space="preserve">proposalRejectRate</t>
  </si>
  <si>
    <t xml:space="preserve">Share of model proposals the rules block (each needs coach review)</t>
  </si>
  <si>
    <t xml:space="preserve">Measured by event:bounds_rejected</t>
  </si>
  <si>
    <t xml:space="preserve">minutesPerEscalation</t>
  </si>
  <si>
    <t xml:space="preserve">Coach minutes per escalation review</t>
  </si>
  <si>
    <t xml:space="preserve">min</t>
  </si>
  <si>
    <t xml:space="preserve">Measured by event:coach_decision</t>
  </si>
  <si>
    <t xml:space="preserve">triageMinutesPerAthleteWeek</t>
  </si>
  <si>
    <t xml:space="preserve">Coach weekly triage per athlete with PolySync</t>
  </si>
  <si>
    <t xml:space="preserve">min/week</t>
  </si>
  <si>
    <t xml:space="preserve">Measured by event:coach_console_active_min</t>
  </si>
  <si>
    <t xml:space="preserve">manualMinutesPerAthleteWeek</t>
  </si>
  <si>
    <t xml:space="preserve">Coach minutes per athlete-week programming hybrid athletes by hand (baseline)</t>
  </si>
  <si>
    <t xml:space="preserve">Measured by study:coach-time-diary</t>
  </si>
  <si>
    <t xml:space="preserve">coachLoading</t>
  </si>
  <si>
    <t xml:space="preserve">Employer on-cost multiplier on base wage</t>
  </si>
  <si>
    <t xml:space="preserve">x</t>
  </si>
  <si>
    <t xml:space="preserve">Measured by study:payroll-ranges</t>
  </si>
  <si>
    <t xml:space="preserve">specialistPremium</t>
  </si>
  <si>
    <t xml:space="preserve">Hybrid/HYROX specialist premium over median trainer wage</t>
  </si>
  <si>
    <t xml:space="preserve">Measured by study:coach-interviews</t>
  </si>
  <si>
    <t xml:space="preserve">coachProgrammingHoursPerWeek</t>
  </si>
  <si>
    <t xml:space="preserve">Coach hours per week available for programming and review</t>
  </si>
  <si>
    <t xml:space="preserve">h/week</t>
  </si>
  <si>
    <t xml:space="preserve">llmTokensInPerProposal</t>
  </si>
  <si>
    <t xml:space="preserve">Input tokens per model call</t>
  </si>
  <si>
    <t xml:space="preserve">tokens</t>
  </si>
  <si>
    <t xml:space="preserve">Measured by event:llm_call</t>
  </si>
  <si>
    <t xml:space="preserve">llmTokensOutPerProposal</t>
  </si>
  <si>
    <t xml:space="preserve">Output tokens per model call</t>
  </si>
  <si>
    <t xml:space="preserve">llmCallsPerAthleteMonth</t>
  </si>
  <si>
    <t xml:space="preserve">Model calls per athlete-month (proposals + explanations + chat)</t>
  </si>
  <si>
    <t xml:space="preserve">calls</t>
  </si>
  <si>
    <t xml:space="preserve">priceInPer1M</t>
  </si>
  <si>
    <t xml:space="preserve">Gemini 3.5 Flash input price</t>
  </si>
  <si>
    <t xml:space="preserve">USD/1M tokens</t>
  </si>
  <si>
    <t xml:space="preserve">Evidence</t>
  </si>
  <si>
    <t xml:space="preserve">CST-003 (A): Google AI for Developers, Gemini API pricing https://ai.google.dev/gemini-api/docs/pricing</t>
  </si>
  <si>
    <t xml:space="preserve">priceOutPer1M</t>
  </si>
  <si>
    <t xml:space="preserve">Gemini 3.5 Flash output price</t>
  </si>
  <si>
    <t xml:space="preserve">infraPerAthleteMonthUsd</t>
  </si>
  <si>
    <t xml:space="preserve">Hosting, database, logs per athlete-month</t>
  </si>
  <si>
    <t xml:space="preserve">USD</t>
  </si>
  <si>
    <t xml:space="preserve">Measured by study:cloud-bill</t>
  </si>
  <si>
    <t xml:space="preserve">pricePerAthleteMonthUsd</t>
  </si>
  <si>
    <t xml:space="preserve">Price to the club per active athlete-month</t>
  </si>
  <si>
    <t xml:space="preserve">Measured by study:pilot-loi; anchors PRC-001, PRC-002, PRC-003, PRC-004</t>
  </si>
  <si>
    <t xml:space="preserve">paymentFeeRate</t>
  </si>
  <si>
    <t xml:space="preserve">Payment and invoicing fees</t>
  </si>
  <si>
    <t xml:space="preserve">ratio of price</t>
  </si>
  <si>
    <t xml:space="preserve">Measured by study:processor-statements</t>
  </si>
  <si>
    <t xml:space="preserve">athletesPerClub</t>
  </si>
  <si>
    <t xml:space="preserve">Active PolySync athletes per club</t>
  </si>
  <si>
    <t xml:space="preserve">athletes</t>
  </si>
  <si>
    <t xml:space="preserve">Measured by event:roster_activated</t>
  </si>
  <si>
    <t xml:space="preserve">hyroxGyms</t>
  </si>
  <si>
    <t xml:space="preserve">HYROX-affiliated gyms worldwide (penetration denominator)</t>
  </si>
  <si>
    <t xml:space="preserve">gyms</t>
  </si>
  <si>
    <t xml:space="preserve">MKT-003 (C): SportsPro (company-reported, single outlet) https://www.sportspro.com/features/finance-investment/hyrox-business-model-mass-participation-private-equity-investment/</t>
  </si>
  <si>
    <t xml:space="preserve">targetGrossMargin</t>
  </si>
  <si>
    <t xml:space="preserve">Gross-margin line for 'this is software'</t>
  </si>
  <si>
    <t xml:space="preserve">Decision</t>
  </si>
  <si>
    <t xml:space="preserve">Product target, not a benchmark claim</t>
  </si>
  <si>
    <t xml:space="preserve">arrTargetUsd</t>
  </si>
  <si>
    <t xml:space="preserve">ARR milestone for the penetration check</t>
  </si>
  <si>
    <t xml:space="preserve">Milestone chosen for scale, not a forecast</t>
  </si>
  <si>
    <t xml:space="preserve">Constants</t>
  </si>
  <si>
    <t xml:space="preserve">weeksPerMonth</t>
  </si>
  <si>
    <t xml:space="preserve">Weeks per month</t>
  </si>
  <si>
    <t xml:space="preserve">Convention</t>
  </si>
  <si>
    <t xml:space="preserve">fxAedPerUsd</t>
  </si>
  <si>
    <t xml:space="preserve">AED per USD</t>
  </si>
  <si>
    <t xml:space="preserve">CST-004 (B): Central Bank of the UAE fixed peg (long-standing; page not opened in this pass)</t>
  </si>
  <si>
    <t xml:space="preserve">uaeMonthlyWageAed</t>
  </si>
  <si>
    <t xml:space="preserve">UAE personal-trainer average salary, AED/month</t>
  </si>
  <si>
    <t xml:space="preserve">CST-002 (B): https://ae.indeed.com/career/personal-trainer/salaries/Dubai</t>
  </si>
  <si>
    <t xml:space="preserve">uaeHoursPerMonth</t>
  </si>
  <si>
    <t xml:space="preserve">Working hours per month</t>
  </si>
  <si>
    <t xml:space="preserve">40 h x 52 / 12</t>
  </si>
  <si>
    <t xml:space="preserve">usHourlyWageUsd</t>
  </si>
  <si>
    <t xml:space="preserve">US median wage, fitness trainers, USD/h</t>
  </si>
  <si>
    <t xml:space="preserve">CST-001 (A): https://www.bls.gov/ooh/personal-care-and-service/fitness-trainers-and-instructors.htm</t>
  </si>
  <si>
    <t xml:space="preserve">Schedule</t>
  </si>
  <si>
    <t xml:space="preserve">Hard sessions (n)</t>
  </si>
  <si>
    <t xml:space="preserve">Escalated</t>
  </si>
  <si>
    <t xml:space="preserve">Rate</t>
  </si>
  <si>
    <t xml:space="preserve">Segment</t>
  </si>
  <si>
    <t xml:space="preserve">3d-doubles</t>
  </si>
  <si>
    <t xml:space="preserve">rigid</t>
  </si>
  <si>
    <t xml:space="preserve">3d-singles</t>
  </si>
  <si>
    <t xml:space="preserve">4d-doubles</t>
  </si>
  <si>
    <t xml:space="preserve">4d-singles</t>
  </si>
  <si>
    <t xml:space="preserve">5d-doubles</t>
  </si>
  <si>
    <t xml:space="preserve">standard</t>
  </si>
  <si>
    <t xml:space="preserve">5d-singles</t>
  </si>
  <si>
    <t xml:space="preserve">6d-doubles</t>
  </si>
  <si>
    <t xml:space="preserve">flexible</t>
  </si>
  <si>
    <t xml:space="preserve">6d-singles</t>
  </si>
  <si>
    <t xml:space="preserve">7d-doubles</t>
  </si>
  <si>
    <t xml:space="preserve">7d-singles</t>
  </si>
  <si>
    <t xml:space="preserve">Segment escalation rate (n-weighted)</t>
  </si>
  <si>
    <t xml:space="preserve">Flexible: 6-7 days available, doubles OK</t>
  </si>
  <si>
    <t xml:space="preserve">Standard: 5 days with doubles, or 6-7 days without</t>
  </si>
  <si>
    <t xml:space="preserve">Rigid: 3-4 fixed days</t>
  </si>
  <si>
    <t xml:space="preserve">Per athlete-month</t>
  </si>
  <si>
    <t xml:space="preserve">UAE / flexible</t>
  </si>
  <si>
    <t xml:space="preserve">UAE / standard</t>
  </si>
  <si>
    <t xml:space="preserve">UAE / rigid</t>
  </si>
  <si>
    <t xml:space="preserve">US / flexible</t>
  </si>
  <si>
    <t xml:space="preserve">US / standard</t>
  </si>
  <si>
    <t xml:space="preserve">US / rigid</t>
  </si>
  <si>
    <t xml:space="preserve">Coach cost per hour, loaded ($)</t>
  </si>
  <si>
    <t xml:space="preserve">Escalation rate on amber days (simulated)</t>
  </si>
  <si>
    <t xml:space="preserve">Escalations per athlete-month</t>
  </si>
  <si>
    <t xml:space="preserve">Coach minutes with PolySync</t>
  </si>
  <si>
    <t xml:space="preserve">Coach minutes by hand</t>
  </si>
  <si>
    <t xml:space="preserve">Coach minutes saved</t>
  </si>
  <si>
    <t xml:space="preserve">Club value of minutes saved ($)</t>
  </si>
  <si>
    <t xml:space="preserve">Club ROI at price</t>
  </si>
  <si>
    <t xml:space="preserve">Athletes per coach, by hand</t>
  </si>
  <si>
    <t xml:space="preserve">Athletes per coach, with PolySync</t>
  </si>
  <si>
    <t xml:space="preserve">Inference cost ($)</t>
  </si>
  <si>
    <t xml:space="preserve">PolySync software gross margin</t>
  </si>
  <si>
    <t xml:space="preserve">Coach cost if PolySync employed the coach ($)</t>
  </si>
  <si>
    <t xml:space="preserve">Managed break-even price for target margin ($)</t>
  </si>
  <si>
    <t xml:space="preserve">Price in AED</t>
  </si>
  <si>
    <t xml:space="preserve">Required penetration (not a forecast)</t>
  </si>
  <si>
    <t xml:space="preserve">Value</t>
  </si>
  <si>
    <t xml:space="preserve">ARR milestone ($)</t>
  </si>
  <si>
    <t xml:space="preserve">Active athletes needed</t>
  </si>
  <si>
    <t xml:space="preserve">Clubs needed</t>
  </si>
  <si>
    <t xml:space="preserve">Share of HYROX-affiliated gyms (MKT-003, grade C)</t>
  </si>
  <si>
    <t xml:space="preserve">Grade</t>
  </si>
  <si>
    <t xml:space="preserve">Claim</t>
  </si>
  <si>
    <t xml:space="preserve">Source</t>
  </si>
  <si>
    <t xml:space="preserve">URL</t>
  </si>
  <si>
    <t xml:space="preserve">Accessed</t>
  </si>
  <si>
    <t xml:space="preserve">SCI-001</t>
  </si>
  <si>
    <t xml:space="preserve">A</t>
  </si>
  <si>
    <t xml:space="preserve">Concurrent training does not significantly reduce maximal-strength gains versus strength training alone</t>
  </si>
  <si>
    <t xml:space="preserve">Schumann M. et al. Compatibility of Concurrent Aerobic and Strength Training for Skeletal Muscle Size and Function. Sports Medicine 52 (2022). 43 studies, 1,090 participants</t>
  </si>
  <si>
    <t xml:space="preserve">https://link.springer.com/doi/10.1007/s40279-021-01587-7</t>
  </si>
  <si>
    <t xml:space="preserve">2026-09-24</t>
  </si>
  <si>
    <t xml:space="preserve">SCI-002</t>
  </si>
  <si>
    <t xml:space="preserve">Concurrent training does not significantly reduce muscle hypertrophy</t>
  </si>
  <si>
    <t xml:space="preserve">Schumann et al., Sports Medicine 2022</t>
  </si>
  <si>
    <t xml:space="preserve">SCI-003</t>
  </si>
  <si>
    <t xml:space="preserve">Concurrent training does significantly attenuate explosive-strength (power) gains</t>
  </si>
  <si>
    <t xml:space="preserve">SCI-004</t>
  </si>
  <si>
    <t xml:space="preserve">Explosive-strength attenuation was larger when aerobic and strength work were in the same session than when separated by at least 3 h; running vs cycling, frequency, training status and age did not moderate the effect</t>
  </si>
  <si>
    <t xml:space="preserve">Schumann et al., Sports Medicine 2022 (moderator analysis: same session p = 0.043; &gt;= 3 h separation p &gt; 0.05)</t>
  </si>
  <si>
    <t xml:space="preserve">SCI-005</t>
  </si>
  <si>
    <t xml:space="preserve">Recovery between concurrent sessions matters: strength gains were lower with 0 h than 6 h or 24 h, and VO2peak improved most with 24 h. 'Daily training without a recovery period between sessions (C-0h) and, to a lesser extent, training twice a day (C-6h), is not optimal'</t>
  </si>
  <si>
    <t xml:space="preserve">Robineau J. et al. Specific Training Effects of Concurrent Aerobic and Strength Exercises Depend on Recovery Duration. J Strength Cond Res 30(3), 2016</t>
  </si>
  <si>
    <t xml:space="preserve">https://formation.ffr.fr/sites/default/files/documents/doc/2016-12/Specific%20training%20effects%20of%20concurrent%20aerobic%20and%20strength%20exercises%20depend%20on%20recovery%20duration.pdf</t>
  </si>
  <si>
    <t xml:space="preserve">SCI-006</t>
  </si>
  <si>
    <t xml:space="preserve">A graded program built on the 10% weekly-progression rule did not reduce running injuries versus a standard program (20.8% vs 20.3%, n = 532 novice runners, RCT)</t>
  </si>
  <si>
    <t xml:space="preserve">Buist I. et al. No Effect of a Graded Training Program on the Number of Running-Related Injuries in Novice Runners. Am J Sports Med 36(1), 2008</t>
  </si>
  <si>
    <t xml:space="preserve">https://journals.sagepub.com/doi/abs/10.1177/0363546507307505</t>
  </si>
  <si>
    <t xml:space="preserve">SCI-007</t>
  </si>
  <si>
    <t xml:space="preserve">The ACWR 'sweet spot' (0.8-1.3) was not protective: 27.5% of all injuries (83% in pentathletes) occurred inside it</t>
  </si>
  <si>
    <t xml:space="preserve">Sedeaud A. et al. Does an Optimal Relationship Between Injury Risk and Workload Represented by the 'Sweet Spot' Really Exist? Frontiers in Physiology 2020</t>
  </si>
  <si>
    <t xml:space="preserve">https://www.frontiersin.org/journals/physiology/articles/10.3389/fphys.2020.01034/full</t>
  </si>
  <si>
    <t xml:space="preserve">SCI-008</t>
  </si>
  <si>
    <t xml:space="preserve">C</t>
  </si>
  <si>
    <t xml:space="preserve">Older meta-analysis reported smaller strength, hypertrophy and power gains with concurrent training than strength training alone</t>
  </si>
  <si>
    <t xml:space="preserve">Wilson J.M. et al. Concurrent training: a meta-analysis. J Strength Cond Res 26(8), 2012 - summarised by Stronger by Science; primary abstract not opened (publisher paywall, Europe PMC rate-limited)</t>
  </si>
  <si>
    <t xml:space="preserve">https://www.strongerbyscience.com/research-spotlight-interference-effect/</t>
  </si>
  <si>
    <t xml:space="preserve">MKT-001</t>
  </si>
  <si>
    <t xml:space="preserve">B</t>
  </si>
  <si>
    <t xml:space="preserve">HYROX participants in the 2025/26 season</t>
  </si>
  <si>
    <t xml:space="preserve">Company-reported; carried by SportsPro and endurance.biz (July 2026) independently</t>
  </si>
  <si>
    <t xml:space="preserve">https://endurance.biz/2026/industry-news/targeting-2-million-athletes-hyrox-expands-global-calendar-for-2026-27-season/</t>
  </si>
  <si>
    <t xml:space="preserve">MKT-002</t>
  </si>
  <si>
    <t xml:space="preserve">HYROX participants in the 2024/25 season</t>
  </si>
  <si>
    <t xml:space="preserve">SportsPro (company-reported)</t>
  </si>
  <si>
    <t xml:space="preserve">https://www.sportspro.com/features/finance-investment/hyrox-business-model-mass-participation-private-equity-investment/</t>
  </si>
  <si>
    <t xml:space="preserve">MKT-003</t>
  </si>
  <si>
    <t xml:space="preserve">HYROX-affiliated gyms worldwide</t>
  </si>
  <si>
    <t xml:space="preserve">SportsPro (company-reported, single outlet)</t>
  </si>
  <si>
    <t xml:space="preserve">MKT-004</t>
  </si>
  <si>
    <t xml:space="preserve">HYROX 2026 volume forecast conflicts between outlets: 2 million targeted for the 2026/27 season vs 'over 2.5 million athletes in 2026'</t>
  </si>
  <si>
    <t xml:space="preserve">endurance.biz (20 Jul 2026) vs SportsPro</t>
  </si>
  <si>
    <t xml:space="preserve">MKT-005</t>
  </si>
  <si>
    <t xml:space="preserve">HYROX race weekends: 105 in 2025/26; 107 planned for 2026/27 across 30+ countries</t>
  </si>
  <si>
    <t xml:space="preserve">SportsPro (105) and endurance.biz (107 planned, 30+ countries)</t>
  </si>
  <si>
    <t xml:space="preserve">MKT-006</t>
  </si>
  <si>
    <t xml:space="preserve">UAE: HYROX Abu Dhabi sold out; at least four UAE gyms run HYROX prep classes (GritnCode, F45, GymNation, Warehouse Gym)</t>
  </si>
  <si>
    <t xml:space="preserve">The National, 16 Jul 2025</t>
  </si>
  <si>
    <t xml:space="preserve">https://www.thenationalnews.com/lifestyle/wellbeing/2025/07/16/hyrox-abu-dhabi-fitness-race/</t>
  </si>
  <si>
    <t xml:space="preserve">MKT-007</t>
  </si>
  <si>
    <t xml:space="preserve">GymNation is an official HYROX Performance Center and Training Club with HYROX classes in Dubai, Abu Dhabi, Sharjah and Al Ain</t>
  </si>
  <si>
    <t xml:space="preserve">GymNation UAE HYROX page</t>
  </si>
  <si>
    <t xml:space="preserve">https://gymnation.com/en-ae/hyrox-classes/</t>
  </si>
  <si>
    <t xml:space="preserve">PRC-001</t>
  </si>
  <si>
    <t xml:space="preserve">TrainHeroic coach plan: up to 50 athletes</t>
  </si>
  <si>
    <t xml:space="preserve">TrainHeroic pricing page</t>
  </si>
  <si>
    <t xml:space="preserve">https://www.trainheroic.com/pricing/</t>
  </si>
  <si>
    <t xml:space="preserve">PRC-002</t>
  </si>
  <si>
    <t xml:space="preserve">TrueCoach Pro plan: up to 50 active clients</t>
  </si>
  <si>
    <t xml:space="preserve">TrueCoach pricing page</t>
  </si>
  <si>
    <t xml:space="preserve">https://truecoach.co/pricing/</t>
  </si>
  <si>
    <t xml:space="preserve">PRC-003</t>
  </si>
  <si>
    <t xml:space="preserve">Ladder (consumer strength app) Pro plan</t>
  </si>
  <si>
    <t xml:space="preserve">Ladder pricing page</t>
  </si>
  <si>
    <t xml:space="preserve">https://www.joinladder.com/pricing</t>
  </si>
  <si>
    <t xml:space="preserve">PRC-004</t>
  </si>
  <si>
    <t xml:space="preserve">Strava + Runna bundle (US)</t>
  </si>
  <si>
    <t xml:space="preserve">Strava press release, 2 Jul 2025</t>
  </si>
  <si>
    <t xml:space="preserve">https://press.strava.com/articles/strava-runna-launch-combined-subscription-bundle</t>
  </si>
  <si>
    <t xml:space="preserve">CST-001</t>
  </si>
  <si>
    <t xml:space="preserve">US median wage, fitness trainers and instructors (May 2025)</t>
  </si>
  <si>
    <t xml:space="preserve">US Bureau of Labor Statistics, Occupational Outlook Handbook</t>
  </si>
  <si>
    <t xml:space="preserve">https://www.bls.gov/ooh/personal-care-and-service/fitness-trainers-and-instructors.htm</t>
  </si>
  <si>
    <t xml:space="preserve">CST-002</t>
  </si>
  <si>
    <t xml:space="preserve">Average personal-trainer salary in Dubai (219 salaries reported, updated 13 Aug 2026)</t>
  </si>
  <si>
    <t xml:space="preserve">Indeed UAE salary data</t>
  </si>
  <si>
    <t xml:space="preserve">https://ae.indeed.com/career/personal-trainer/salaries/Dubai</t>
  </si>
  <si>
    <t xml:space="preserve">CST-003</t>
  </si>
  <si>
    <t xml:space="preserve">Gemini 3.5 Flash list price, paid tier (the model app/server.ts calls)</t>
  </si>
  <si>
    <t xml:space="preserve">Google AI for Developers, Gemini API pricing</t>
  </si>
  <si>
    <t xml:space="preserve">https://ai.google.dev/gemini-api/docs/pricing</t>
  </si>
  <si>
    <t xml:space="preserve">CST-004</t>
  </si>
  <si>
    <t xml:space="preserve">AED is pegged to the USD</t>
  </si>
  <si>
    <t xml:space="preserve">Central Bank of the UAE fixed peg (long-standing; page not opened in this pass)</t>
  </si>
  <si>
    <t xml:space="preserve">https://www.centralbank.ae/</t>
  </si>
  <si>
    <t xml:space="preserve">REG-001</t>
  </si>
  <si>
    <t xml:space="preserve">UAE PDPL defines sensitive personal data to include 'any data relating to such person's health and physical, psychological, mental, genetic or sexual condition'; it excludes personal health data regulated by other legislation and free-zone entities with their own data-protection laws</t>
  </si>
  <si>
    <t xml:space="preserve">Federal Decree-Law No. 45 of 2021 on the Protection of Personal Data, Articles 1 and 2 (official UAE legislation portal)</t>
  </si>
  <si>
    <t xml:space="preserve">https://uaelegislation.gov.ae/en/legislations/1972/download</t>
  </si>
  <si>
    <t xml:space="preserve">OWN-001</t>
  </si>
  <si>
    <t xml:space="preserve">Safety-layer eval results on main of this repo</t>
  </si>
  <si>
    <t xml:space="preserve">evals/results/latest.json, produced by CI</t>
  </si>
  <si>
    <t xml:space="preserve">../../evals/results/latest.json</t>
  </si>
  <si>
    <t xml:space="preserve">OWN-002</t>
  </si>
  <si>
    <t xml:space="preserve">Simulated amber-day escalation rate by schedule shape (share of hard sessions the engine cannot reschedule within rules H1-H9)</t>
  </si>
  <si>
    <t xml:space="preserve">evals/results/hybrid-latest.json, amber_escalation_by_schedule (CI). Simulation of the engine's own rules; real-world rates are unmeasured</t>
  </si>
  <si>
    <t xml:space="preserve">../../evals/results/hybrid-latest.json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</si>
</sst>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$#,##0.00"/>
    <numFmt numFmtId="167" formatCode="0.00"/>
    <numFmt numFmtId="168" formatCode="0.0"/>
    <numFmt numFmtId="169" formatCode="0.00\x"/>
    <numFmt numFmtId="170" formatCode="0"/>
    <numFmt numFmtId="171" formatCode="#,##0"/>
    <numFmt numFmtId="172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5" min="3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90"/>
  </cols>
  <sheetData>
    <row r="1" customFormat="false" ht="26.85" hidden="false" customHeight="false" outlineLevel="0" collapsed="false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4" t="n">
        <v>4</v>
      </c>
      <c r="D2" s="4" t="n">
        <v>2</v>
      </c>
      <c r="E2" s="4" t="n">
        <v>8</v>
      </c>
      <c r="F2" s="2" t="s">
        <v>17</v>
      </c>
      <c r="G2" s="2" t="s">
        <v>18</v>
      </c>
      <c r="H2" s="2" t="s">
        <v>19</v>
      </c>
    </row>
    <row r="3" customFormat="false" ht="15" hidden="false" customHeight="false" outlineLevel="0" collapsed="false">
      <c r="A3" s="2" t="s">
        <v>20</v>
      </c>
      <c r="B3" s="2" t="s">
        <v>21</v>
      </c>
      <c r="C3" s="4" t="n">
        <v>0.6</v>
      </c>
      <c r="D3" s="4" t="n">
        <v>0.4</v>
      </c>
      <c r="E3" s="4" t="n">
        <v>0.8</v>
      </c>
      <c r="F3" s="2" t="s">
        <v>22</v>
      </c>
      <c r="G3" s="2" t="s">
        <v>18</v>
      </c>
      <c r="H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4" t="n">
        <v>0.3</v>
      </c>
      <c r="D4" s="4" t="n">
        <v>0.1</v>
      </c>
      <c r="E4" s="4" t="n">
        <v>0.8</v>
      </c>
      <c r="F4" s="2" t="s">
        <v>26</v>
      </c>
      <c r="G4" s="2" t="s">
        <v>18</v>
      </c>
      <c r="H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4" t="n">
        <v>4.33</v>
      </c>
      <c r="D5" s="4" t="n">
        <v>4.33</v>
      </c>
      <c r="E5" s="4" t="n">
        <v>8.66</v>
      </c>
      <c r="F5" s="2" t="s">
        <v>30</v>
      </c>
      <c r="G5" s="2" t="s">
        <v>18</v>
      </c>
      <c r="H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4" t="n">
        <v>0.15</v>
      </c>
      <c r="D6" s="4" t="n">
        <v>0.05</v>
      </c>
      <c r="E6" s="4" t="n">
        <v>0.3</v>
      </c>
      <c r="F6" s="2" t="s">
        <v>22</v>
      </c>
      <c r="G6" s="2" t="s">
        <v>18</v>
      </c>
      <c r="H6" s="2" t="s">
        <v>34</v>
      </c>
    </row>
    <row r="7" customFormat="false" ht="15" hidden="false" customHeight="false" outlineLevel="0" collapsed="false">
      <c r="A7" s="2" t="s">
        <v>35</v>
      </c>
      <c r="B7" s="2" t="s">
        <v>36</v>
      </c>
      <c r="C7" s="5" t="n">
        <v>4</v>
      </c>
      <c r="D7" s="4" t="n">
        <v>2</v>
      </c>
      <c r="E7" s="4" t="n">
        <v>8</v>
      </c>
      <c r="F7" s="2" t="s">
        <v>37</v>
      </c>
      <c r="G7" s="2" t="s">
        <v>18</v>
      </c>
      <c r="H7" s="2" t="s">
        <v>38</v>
      </c>
    </row>
    <row r="8" customFormat="false" ht="15" hidden="false" customHeight="false" outlineLevel="0" collapsed="false">
      <c r="A8" s="2" t="s">
        <v>39</v>
      </c>
      <c r="B8" s="2" t="s">
        <v>40</v>
      </c>
      <c r="C8" s="4" t="n">
        <v>1.5</v>
      </c>
      <c r="D8" s="4" t="n">
        <v>0.5</v>
      </c>
      <c r="E8" s="4" t="n">
        <v>3</v>
      </c>
      <c r="F8" s="2" t="s">
        <v>41</v>
      </c>
      <c r="G8" s="2" t="s">
        <v>18</v>
      </c>
      <c r="H8" s="2" t="s">
        <v>42</v>
      </c>
    </row>
    <row r="9" customFormat="false" ht="15" hidden="false" customHeight="false" outlineLevel="0" collapsed="false">
      <c r="A9" s="2" t="s">
        <v>43</v>
      </c>
      <c r="B9" s="2" t="s">
        <v>44</v>
      </c>
      <c r="C9" s="5" t="n">
        <v>15</v>
      </c>
      <c r="D9" s="4" t="n">
        <v>8</v>
      </c>
      <c r="E9" s="4" t="n">
        <v>30</v>
      </c>
      <c r="F9" s="2" t="s">
        <v>41</v>
      </c>
      <c r="G9" s="2" t="s">
        <v>18</v>
      </c>
      <c r="H9" s="2" t="s">
        <v>45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4" t="n">
        <v>1.3</v>
      </c>
      <c r="D10" s="4" t="n">
        <v>1.2</v>
      </c>
      <c r="E10" s="4" t="n">
        <v>1.5</v>
      </c>
      <c r="F10" s="2" t="s">
        <v>48</v>
      </c>
      <c r="G10" s="2" t="s">
        <v>18</v>
      </c>
      <c r="H10" s="2" t="s">
        <v>49</v>
      </c>
    </row>
    <row r="11" customFormat="false" ht="15" hidden="false" customHeight="false" outlineLevel="0" collapsed="false">
      <c r="A11" s="2" t="s">
        <v>50</v>
      </c>
      <c r="B11" s="2" t="s">
        <v>51</v>
      </c>
      <c r="C11" s="5" t="n">
        <v>1.5</v>
      </c>
      <c r="D11" s="4" t="n">
        <v>1</v>
      </c>
      <c r="E11" s="4" t="n">
        <v>2.5</v>
      </c>
      <c r="F11" s="2" t="s">
        <v>48</v>
      </c>
      <c r="G11" s="2" t="s">
        <v>18</v>
      </c>
      <c r="H11" s="2" t="s">
        <v>52</v>
      </c>
    </row>
    <row r="12" customFormat="false" ht="15" hidden="false" customHeight="false" outlineLevel="0" collapsed="false">
      <c r="A12" s="2" t="s">
        <v>53</v>
      </c>
      <c r="B12" s="2" t="s">
        <v>54</v>
      </c>
      <c r="C12" s="4" t="n">
        <v>10</v>
      </c>
      <c r="D12" s="4" t="n">
        <v>6</v>
      </c>
      <c r="E12" s="4" t="n">
        <v>15</v>
      </c>
      <c r="F12" s="2" t="s">
        <v>55</v>
      </c>
      <c r="G12" s="2" t="s">
        <v>18</v>
      </c>
      <c r="H12" s="2" t="s">
        <v>52</v>
      </c>
    </row>
    <row r="13" customFormat="false" ht="15" hidden="false" customHeight="false" outlineLevel="0" collapsed="false">
      <c r="A13" s="2" t="s">
        <v>56</v>
      </c>
      <c r="B13" s="2" t="s">
        <v>57</v>
      </c>
      <c r="C13" s="4" t="n">
        <v>2000</v>
      </c>
      <c r="D13" s="4" t="n">
        <v>1000</v>
      </c>
      <c r="E13" s="4" t="n">
        <v>4000</v>
      </c>
      <c r="F13" s="2" t="s">
        <v>58</v>
      </c>
      <c r="G13" s="2" t="s">
        <v>18</v>
      </c>
      <c r="H13" s="2" t="s">
        <v>59</v>
      </c>
    </row>
    <row r="14" customFormat="false" ht="15" hidden="false" customHeight="false" outlineLevel="0" collapsed="false">
      <c r="A14" s="2" t="s">
        <v>60</v>
      </c>
      <c r="B14" s="2" t="s">
        <v>61</v>
      </c>
      <c r="C14" s="4" t="n">
        <v>600</v>
      </c>
      <c r="D14" s="4" t="n">
        <v>300</v>
      </c>
      <c r="E14" s="4" t="n">
        <v>1200</v>
      </c>
      <c r="F14" s="2" t="s">
        <v>58</v>
      </c>
      <c r="G14" s="2" t="s">
        <v>18</v>
      </c>
      <c r="H14" s="2" t="s">
        <v>59</v>
      </c>
    </row>
    <row r="15" customFormat="false" ht="15" hidden="false" customHeight="false" outlineLevel="0" collapsed="false">
      <c r="A15" s="2" t="s">
        <v>62</v>
      </c>
      <c r="B15" s="2" t="s">
        <v>63</v>
      </c>
      <c r="C15" s="4" t="n">
        <v>24</v>
      </c>
      <c r="D15" s="4" t="n">
        <v>12</v>
      </c>
      <c r="E15" s="4" t="n">
        <v>60</v>
      </c>
      <c r="F15" s="2" t="s">
        <v>64</v>
      </c>
      <c r="G15" s="2" t="s">
        <v>18</v>
      </c>
      <c r="H15" s="2" t="s">
        <v>59</v>
      </c>
    </row>
    <row r="16" customFormat="false" ht="15" hidden="false" customHeight="false" outlineLevel="0" collapsed="false">
      <c r="A16" s="2" t="s">
        <v>65</v>
      </c>
      <c r="B16" s="2" t="s">
        <v>66</v>
      </c>
      <c r="C16" s="4" t="n">
        <v>1.5</v>
      </c>
      <c r="D16" s="4" t="n">
        <v>1.5</v>
      </c>
      <c r="E16" s="4" t="n">
        <v>1.5</v>
      </c>
      <c r="F16" s="2" t="s">
        <v>67</v>
      </c>
      <c r="G16" s="2" t="s">
        <v>68</v>
      </c>
      <c r="H16" s="2" t="s">
        <v>69</v>
      </c>
    </row>
    <row r="17" customFormat="false" ht="15" hidden="false" customHeight="false" outlineLevel="0" collapsed="false">
      <c r="A17" s="2" t="s">
        <v>70</v>
      </c>
      <c r="B17" s="2" t="s">
        <v>71</v>
      </c>
      <c r="C17" s="4" t="n">
        <v>9</v>
      </c>
      <c r="D17" s="4" t="n">
        <v>9</v>
      </c>
      <c r="E17" s="4" t="n">
        <v>9</v>
      </c>
      <c r="F17" s="2" t="s">
        <v>67</v>
      </c>
      <c r="G17" s="2" t="s">
        <v>68</v>
      </c>
      <c r="H17" s="2" t="s">
        <v>69</v>
      </c>
    </row>
    <row r="18" customFormat="false" ht="15" hidden="false" customHeight="false" outlineLevel="0" collapsed="false">
      <c r="A18" s="2" t="s">
        <v>72</v>
      </c>
      <c r="B18" s="2" t="s">
        <v>73</v>
      </c>
      <c r="C18" s="4" t="n">
        <v>0.15</v>
      </c>
      <c r="D18" s="4" t="n">
        <v>0.05</v>
      </c>
      <c r="E18" s="4" t="n">
        <v>0.5</v>
      </c>
      <c r="F18" s="2" t="s">
        <v>74</v>
      </c>
      <c r="G18" s="2" t="s">
        <v>18</v>
      </c>
      <c r="H18" s="2" t="s">
        <v>75</v>
      </c>
    </row>
    <row r="19" customFormat="false" ht="15" hidden="false" customHeight="false" outlineLevel="0" collapsed="false">
      <c r="A19" s="2" t="s">
        <v>76</v>
      </c>
      <c r="B19" s="2" t="s">
        <v>77</v>
      </c>
      <c r="C19" s="5" t="n">
        <v>8</v>
      </c>
      <c r="D19" s="4" t="n">
        <v>5</v>
      </c>
      <c r="E19" s="4" t="n">
        <v>12</v>
      </c>
      <c r="F19" s="2" t="s">
        <v>74</v>
      </c>
      <c r="G19" s="2" t="s">
        <v>18</v>
      </c>
      <c r="H19" s="2" t="s">
        <v>78</v>
      </c>
    </row>
    <row r="20" customFormat="false" ht="15" hidden="false" customHeight="false" outlineLevel="0" collapsed="false">
      <c r="A20" s="2" t="s">
        <v>79</v>
      </c>
      <c r="B20" s="2" t="s">
        <v>80</v>
      </c>
      <c r="C20" s="4" t="n">
        <v>0.03</v>
      </c>
      <c r="D20" s="4" t="n">
        <v>0.02</v>
      </c>
      <c r="E20" s="4" t="n">
        <v>0.05</v>
      </c>
      <c r="F20" s="2" t="s">
        <v>81</v>
      </c>
      <c r="G20" s="2" t="s">
        <v>18</v>
      </c>
      <c r="H20" s="2" t="s">
        <v>82</v>
      </c>
    </row>
    <row r="21" customFormat="false" ht="15" hidden="false" customHeight="false" outlineLevel="0" collapsed="false">
      <c r="A21" s="2" t="s">
        <v>83</v>
      </c>
      <c r="B21" s="2" t="s">
        <v>84</v>
      </c>
      <c r="C21" s="4" t="n">
        <v>30</v>
      </c>
      <c r="D21" s="4" t="n">
        <v>15</v>
      </c>
      <c r="E21" s="4" t="n">
        <v>60</v>
      </c>
      <c r="F21" s="2" t="s">
        <v>85</v>
      </c>
      <c r="G21" s="2" t="s">
        <v>18</v>
      </c>
      <c r="H21" s="2" t="s">
        <v>86</v>
      </c>
    </row>
    <row r="22" customFormat="false" ht="15" hidden="false" customHeight="false" outlineLevel="0" collapsed="false">
      <c r="A22" s="2" t="s">
        <v>87</v>
      </c>
      <c r="B22" s="2" t="s">
        <v>88</v>
      </c>
      <c r="C22" s="4" t="n">
        <v>15000</v>
      </c>
      <c r="D22" s="4" t="n">
        <v>15000</v>
      </c>
      <c r="E22" s="4" t="n">
        <v>24000</v>
      </c>
      <c r="F22" s="2" t="s">
        <v>89</v>
      </c>
      <c r="G22" s="2" t="s">
        <v>68</v>
      </c>
      <c r="H22" s="2" t="s">
        <v>90</v>
      </c>
    </row>
    <row r="23" customFormat="false" ht="15" hidden="false" customHeight="false" outlineLevel="0" collapsed="false">
      <c r="A23" s="2" t="s">
        <v>91</v>
      </c>
      <c r="B23" s="2" t="s">
        <v>92</v>
      </c>
      <c r="C23" s="4" t="n">
        <v>0.7</v>
      </c>
      <c r="D23" s="4" t="n">
        <v>0.7</v>
      </c>
      <c r="E23" s="4" t="n">
        <v>0.7</v>
      </c>
      <c r="F23" s="2" t="s">
        <v>22</v>
      </c>
      <c r="G23" s="2" t="s">
        <v>93</v>
      </c>
      <c r="H23" s="2" t="s">
        <v>94</v>
      </c>
    </row>
    <row r="24" customFormat="false" ht="15" hidden="false" customHeight="false" outlineLevel="0" collapsed="false">
      <c r="A24" s="2" t="s">
        <v>95</v>
      </c>
      <c r="B24" s="2" t="s">
        <v>96</v>
      </c>
      <c r="C24" s="4" t="n">
        <v>1000000</v>
      </c>
      <c r="D24" s="4" t="n">
        <v>1000000</v>
      </c>
      <c r="E24" s="4" t="n">
        <v>1000000</v>
      </c>
      <c r="F24" s="2" t="s">
        <v>74</v>
      </c>
      <c r="G24" s="2" t="s">
        <v>93</v>
      </c>
      <c r="H24" s="2" t="s">
        <v>97</v>
      </c>
    </row>
    <row r="26" customFormat="false" ht="15" hidden="false" customHeight="false" outlineLevel="0" collapsed="false">
      <c r="A26" s="1" t="s">
        <v>98</v>
      </c>
    </row>
    <row r="27" customFormat="false" ht="15" hidden="false" customHeight="false" outlineLevel="0" collapsed="false">
      <c r="A27" s="2" t="s">
        <v>99</v>
      </c>
      <c r="B27" s="2" t="s">
        <v>100</v>
      </c>
      <c r="C27" s="4" t="n">
        <v>4.33</v>
      </c>
      <c r="H27" s="2" t="s">
        <v>101</v>
      </c>
    </row>
    <row r="28" customFormat="false" ht="15" hidden="false" customHeight="false" outlineLevel="0" collapsed="false">
      <c r="A28" s="2" t="s">
        <v>102</v>
      </c>
      <c r="B28" s="2" t="s">
        <v>103</v>
      </c>
      <c r="C28" s="4" t="n">
        <v>3.6725</v>
      </c>
      <c r="H28" s="2" t="s">
        <v>104</v>
      </c>
    </row>
    <row r="29" customFormat="false" ht="15" hidden="false" customHeight="false" outlineLevel="0" collapsed="false">
      <c r="A29" s="2" t="s">
        <v>105</v>
      </c>
      <c r="B29" s="2" t="s">
        <v>106</v>
      </c>
      <c r="C29" s="4" t="n">
        <v>4556</v>
      </c>
      <c r="H29" s="2" t="s">
        <v>107</v>
      </c>
    </row>
    <row r="30" customFormat="false" ht="15" hidden="false" customHeight="false" outlineLevel="0" collapsed="false">
      <c r="A30" s="2" t="s">
        <v>108</v>
      </c>
      <c r="B30" s="2" t="s">
        <v>109</v>
      </c>
      <c r="C30" s="4" t="n">
        <v>173.33</v>
      </c>
      <c r="H30" s="2" t="s">
        <v>110</v>
      </c>
    </row>
    <row r="31" customFormat="false" ht="15" hidden="false" customHeight="false" outlineLevel="0" collapsed="false">
      <c r="A31" s="2" t="s">
        <v>111</v>
      </c>
      <c r="B31" s="2" t="s">
        <v>112</v>
      </c>
      <c r="C31" s="4" t="n">
        <v>22.67</v>
      </c>
      <c r="H31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114</v>
      </c>
      <c r="B1" s="3" t="s">
        <v>115</v>
      </c>
      <c r="C1" s="3" t="s">
        <v>116</v>
      </c>
      <c r="D1" s="3" t="s">
        <v>117</v>
      </c>
      <c r="E1" s="3" t="s">
        <v>118</v>
      </c>
    </row>
    <row r="2" customFormat="false" ht="15" hidden="false" customHeight="false" outlineLevel="0" collapsed="false">
      <c r="A2" s="2" t="s">
        <v>119</v>
      </c>
      <c r="B2" s="4" t="n">
        <v>1416</v>
      </c>
      <c r="C2" s="4" t="n">
        <v>1275</v>
      </c>
      <c r="D2" s="6" t="n">
        <f aca="false">IFERROR(C2/B2,0)</f>
        <v>0.900423728813559</v>
      </c>
      <c r="E2" s="2" t="s">
        <v>120</v>
      </c>
    </row>
    <row r="3" customFormat="false" ht="15" hidden="false" customHeight="false" outlineLevel="0" collapsed="false">
      <c r="A3" s="2" t="s">
        <v>121</v>
      </c>
      <c r="B3" s="4" t="n">
        <v>954</v>
      </c>
      <c r="C3" s="4" t="n">
        <v>954</v>
      </c>
      <c r="D3" s="6" t="n">
        <f aca="false">IFERROR(C3/B3,0)</f>
        <v>1</v>
      </c>
      <c r="E3" s="2" t="s">
        <v>120</v>
      </c>
    </row>
    <row r="4" customFormat="false" ht="15" hidden="false" customHeight="false" outlineLevel="0" collapsed="false">
      <c r="A4" s="2" t="s">
        <v>122</v>
      </c>
      <c r="B4" s="4" t="n">
        <v>1458</v>
      </c>
      <c r="C4" s="4" t="n">
        <v>876</v>
      </c>
      <c r="D4" s="6" t="n">
        <f aca="false">IFERROR(C4/B4,0)</f>
        <v>0.60082304526749</v>
      </c>
      <c r="E4" s="2" t="s">
        <v>120</v>
      </c>
    </row>
    <row r="5" customFormat="false" ht="15" hidden="false" customHeight="false" outlineLevel="0" collapsed="false">
      <c r="A5" s="2" t="s">
        <v>123</v>
      </c>
      <c r="B5" s="4" t="n">
        <v>1206</v>
      </c>
      <c r="C5" s="4" t="n">
        <v>1161</v>
      </c>
      <c r="D5" s="6" t="n">
        <f aca="false">IFERROR(C5/B5,0)</f>
        <v>0.962686567164179</v>
      </c>
      <c r="E5" s="2" t="s">
        <v>120</v>
      </c>
    </row>
    <row r="6" customFormat="false" ht="15" hidden="false" customHeight="false" outlineLevel="0" collapsed="false">
      <c r="A6" s="2" t="s">
        <v>124</v>
      </c>
      <c r="B6" s="4" t="n">
        <v>1458</v>
      </c>
      <c r="C6" s="4" t="n">
        <v>540</v>
      </c>
      <c r="D6" s="6" t="n">
        <f aca="false">IFERROR(C6/B6,0)</f>
        <v>0.37037037037037</v>
      </c>
      <c r="E6" s="2" t="s">
        <v>125</v>
      </c>
    </row>
    <row r="7" customFormat="false" ht="15" hidden="false" customHeight="false" outlineLevel="0" collapsed="false">
      <c r="A7" s="2" t="s">
        <v>126</v>
      </c>
      <c r="B7" s="4" t="n">
        <v>1368</v>
      </c>
      <c r="C7" s="4" t="n">
        <v>1212</v>
      </c>
      <c r="D7" s="6" t="n">
        <f aca="false">IFERROR(C7/B7,0)</f>
        <v>0.885964912280702</v>
      </c>
      <c r="E7" s="2"/>
    </row>
    <row r="8" customFormat="false" ht="15" hidden="false" customHeight="false" outlineLevel="0" collapsed="false">
      <c r="A8" s="2" t="s">
        <v>127</v>
      </c>
      <c r="B8" s="4" t="n">
        <v>1458</v>
      </c>
      <c r="C8" s="4" t="n">
        <v>342</v>
      </c>
      <c r="D8" s="6" t="n">
        <f aca="false">IFERROR(C8/B8,0)</f>
        <v>0.234567901234568</v>
      </c>
      <c r="E8" s="2" t="s">
        <v>128</v>
      </c>
    </row>
    <row r="9" customFormat="false" ht="15" hidden="false" customHeight="false" outlineLevel="0" collapsed="false">
      <c r="A9" s="2" t="s">
        <v>129</v>
      </c>
      <c r="B9" s="4" t="n">
        <v>1440</v>
      </c>
      <c r="C9" s="4" t="n">
        <v>1008</v>
      </c>
      <c r="D9" s="6" t="n">
        <f aca="false">IFERROR(C9/B9,0)</f>
        <v>0.7</v>
      </c>
      <c r="E9" s="2" t="s">
        <v>125</v>
      </c>
    </row>
    <row r="10" customFormat="false" ht="15" hidden="false" customHeight="false" outlineLevel="0" collapsed="false">
      <c r="A10" s="2" t="s">
        <v>130</v>
      </c>
      <c r="B10" s="4" t="n">
        <v>1458</v>
      </c>
      <c r="C10" s="4" t="n">
        <v>360</v>
      </c>
      <c r="D10" s="6" t="n">
        <f aca="false">IFERROR(C10/B10,0)</f>
        <v>0.246913580246914</v>
      </c>
      <c r="E10" s="2" t="s">
        <v>128</v>
      </c>
    </row>
    <row r="11" customFormat="false" ht="15" hidden="false" customHeight="false" outlineLevel="0" collapsed="false">
      <c r="A11" s="2" t="s">
        <v>131</v>
      </c>
      <c r="B11" s="4" t="n">
        <v>1458</v>
      </c>
      <c r="C11" s="4" t="n">
        <v>783</v>
      </c>
      <c r="D11" s="6" t="n">
        <f aca="false">IFERROR(C11/B11,0)</f>
        <v>0.537037037037037</v>
      </c>
      <c r="E11" s="2" t="s">
        <v>125</v>
      </c>
    </row>
    <row r="13" customFormat="false" ht="15" hidden="false" customHeight="false" outlineLevel="0" collapsed="false">
      <c r="A13" s="1" t="s">
        <v>132</v>
      </c>
    </row>
    <row r="14" customFormat="false" ht="15" hidden="false" customHeight="false" outlineLevel="0" collapsed="false">
      <c r="A14" s="2" t="s">
        <v>128</v>
      </c>
      <c r="B14" s="2" t="s">
        <v>133</v>
      </c>
      <c r="D14" s="6" t="n">
        <f aca="false">IFERROR(SUMIFS($C$2:$C$11,$E$2:$E$11,A14)/SUMIFS($B$2:$B$11,$E$2:$E$11,A14),0)</f>
        <v>0.240740740740741</v>
      </c>
    </row>
    <row r="15" customFormat="false" ht="15" hidden="false" customHeight="false" outlineLevel="0" collapsed="false">
      <c r="A15" s="2" t="s">
        <v>125</v>
      </c>
      <c r="B15" s="2" t="s">
        <v>134</v>
      </c>
      <c r="D15" s="6" t="n">
        <f aca="false">IFERROR(SUMIFS($C$2:$C$11,$E$2:$E$11,A15)/SUMIFS($B$2:$B$11,$E$2:$E$11,A15),0)</f>
        <v>0.535123966942149</v>
      </c>
    </row>
    <row r="16" customFormat="false" ht="15" hidden="false" customHeight="false" outlineLevel="0" collapsed="false">
      <c r="A16" s="2" t="s">
        <v>120</v>
      </c>
      <c r="B16" s="2" t="s">
        <v>135</v>
      </c>
      <c r="D16" s="6" t="n">
        <f aca="false">IFERROR(SUMIFS($C$2:$C$11,$E$2:$E$11,A16)/SUMIFS($B$2:$B$11,$E$2:$E$11,A16),0)</f>
        <v>0.847437425506555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3" t="s">
        <v>136</v>
      </c>
      <c r="B1" s="3" t="s">
        <v>137</v>
      </c>
      <c r="C1" s="3" t="s">
        <v>138</v>
      </c>
      <c r="D1" s="3" t="s">
        <v>139</v>
      </c>
      <c r="E1" s="3" t="s">
        <v>140</v>
      </c>
      <c r="F1" s="3" t="s">
        <v>141</v>
      </c>
      <c r="G1" s="3" t="s">
        <v>142</v>
      </c>
    </row>
    <row r="2" customFormat="false" ht="15" hidden="false" customHeight="false" outlineLevel="0" collapsed="false">
      <c r="A2" s="2" t="s">
        <v>143</v>
      </c>
      <c r="B2" s="7" t="n">
        <f aca="false">(uaeMonthlyWageAed/uaeHoursPerMonth/fxAedPerUsd)*coachLoading*specialistPremium</f>
        <v>13.9567013456862</v>
      </c>
      <c r="C2" s="7" t="n">
        <f aca="false">(uaeMonthlyWageAed/uaeHoursPerMonth/fxAedPerUsd)*coachLoading*specialistPremium</f>
        <v>13.9567013456862</v>
      </c>
      <c r="D2" s="7" t="n">
        <f aca="false">(uaeMonthlyWageAed/uaeHoursPerMonth/fxAedPerUsd)*coachLoading*specialistPremium</f>
        <v>13.9567013456862</v>
      </c>
      <c r="E2" s="7" t="n">
        <f aca="false">usHourlyWageUsd*coachLoading*specialistPremium</f>
        <v>44.2065</v>
      </c>
      <c r="F2" s="7" t="n">
        <f aca="false">usHourlyWageUsd*coachLoading*specialistPremium</f>
        <v>44.2065</v>
      </c>
      <c r="G2" s="7" t="n">
        <f aca="false">usHourlyWageUsd*coachLoading*specialistPremium</f>
        <v>44.2065</v>
      </c>
    </row>
    <row r="3" customFormat="false" ht="15" hidden="false" customHeight="false" outlineLevel="0" collapsed="false">
      <c r="A3" s="2" t="s">
        <v>144</v>
      </c>
      <c r="B3" s="8" t="n">
        <f aca="false">esc_flexible</f>
        <v>0.240740740740741</v>
      </c>
      <c r="C3" s="8" t="n">
        <f aca="false">esc_standard</f>
        <v>0.535123966942149</v>
      </c>
      <c r="D3" s="8" t="n">
        <f aca="false">esc_rigid</f>
        <v>0.847437425506555</v>
      </c>
      <c r="E3" s="8" t="n">
        <f aca="false">esc_flexible</f>
        <v>0.240740740740741</v>
      </c>
      <c r="F3" s="8" t="n">
        <f aca="false">esc_standard</f>
        <v>0.535123966942149</v>
      </c>
      <c r="G3" s="8" t="n">
        <f aca="false">esc_rigid</f>
        <v>0.847437425506555</v>
      </c>
    </row>
    <row r="4" customFormat="false" ht="15" hidden="false" customHeight="false" outlineLevel="0" collapsed="false">
      <c r="A4" s="2" t="s">
        <v>145</v>
      </c>
      <c r="B4" s="9" t="n">
        <f aca="false">amberDaysPerAthleteMonth*hardShareOnAmber*B3+painFlagsPerAthleteMonth+llmProposalsPerAthleteMonth*proposalRejectRate</f>
        <v>1.52727777777778</v>
      </c>
      <c r="C4" s="9" t="n">
        <f aca="false">amberDaysPerAthleteMonth*hardShareOnAmber*C3+painFlagsPerAthleteMonth+llmProposalsPerAthleteMonth*proposalRejectRate</f>
        <v>2.23379752066116</v>
      </c>
      <c r="D4" s="9" t="n">
        <f aca="false">amberDaysPerAthleteMonth*hardShareOnAmber*D3+painFlagsPerAthleteMonth+llmProposalsPerAthleteMonth*proposalRejectRate</f>
        <v>2.98334982121573</v>
      </c>
      <c r="E4" s="9" t="n">
        <f aca="false">amberDaysPerAthleteMonth*hardShareOnAmber*E3+painFlagsPerAthleteMonth+llmProposalsPerAthleteMonth*proposalRejectRate</f>
        <v>1.52727777777778</v>
      </c>
      <c r="F4" s="9" t="n">
        <f aca="false">amberDaysPerAthleteMonth*hardShareOnAmber*F3+painFlagsPerAthleteMonth+llmProposalsPerAthleteMonth*proposalRejectRate</f>
        <v>2.23379752066116</v>
      </c>
      <c r="G4" s="9" t="n">
        <f aca="false">amberDaysPerAthleteMonth*hardShareOnAmber*G3+painFlagsPerAthleteMonth+llmProposalsPerAthleteMonth*proposalRejectRate</f>
        <v>2.98334982121573</v>
      </c>
    </row>
    <row r="5" customFormat="false" ht="15" hidden="false" customHeight="false" outlineLevel="0" collapsed="false">
      <c r="A5" s="2" t="s">
        <v>146</v>
      </c>
      <c r="B5" s="10" t="n">
        <f aca="false">triageMinutesPerAthleteWeek*weeksPerMonth+B4*minutesPerEscalation</f>
        <v>12.6041111111111</v>
      </c>
      <c r="C5" s="10" t="n">
        <f aca="false">triageMinutesPerAthleteWeek*weeksPerMonth+C4*minutesPerEscalation</f>
        <v>15.4301900826446</v>
      </c>
      <c r="D5" s="10" t="n">
        <f aca="false">triageMinutesPerAthleteWeek*weeksPerMonth+D4*minutesPerEscalation</f>
        <v>18.4283992848629</v>
      </c>
      <c r="E5" s="10" t="n">
        <f aca="false">triageMinutesPerAthleteWeek*weeksPerMonth+E4*minutesPerEscalation</f>
        <v>12.6041111111111</v>
      </c>
      <c r="F5" s="10" t="n">
        <f aca="false">triageMinutesPerAthleteWeek*weeksPerMonth+F4*minutesPerEscalation</f>
        <v>15.4301900826446</v>
      </c>
      <c r="G5" s="10" t="n">
        <f aca="false">triageMinutesPerAthleteWeek*weeksPerMonth+G4*minutesPerEscalation</f>
        <v>18.4283992848629</v>
      </c>
    </row>
    <row r="6" customFormat="false" ht="15" hidden="false" customHeight="false" outlineLevel="0" collapsed="false">
      <c r="A6" s="2" t="s">
        <v>147</v>
      </c>
      <c r="B6" s="10" t="n">
        <f aca="false">manualMinutesPerAthleteWeek*weeksPerMonth</f>
        <v>64.95</v>
      </c>
      <c r="C6" s="10" t="n">
        <f aca="false">manualMinutesPerAthleteWeek*weeksPerMonth</f>
        <v>64.95</v>
      </c>
      <c r="D6" s="10" t="n">
        <f aca="false">manualMinutesPerAthleteWeek*weeksPerMonth</f>
        <v>64.95</v>
      </c>
      <c r="E6" s="10" t="n">
        <f aca="false">manualMinutesPerAthleteWeek*weeksPerMonth</f>
        <v>64.95</v>
      </c>
      <c r="F6" s="10" t="n">
        <f aca="false">manualMinutesPerAthleteWeek*weeksPerMonth</f>
        <v>64.95</v>
      </c>
      <c r="G6" s="10" t="n">
        <f aca="false">manualMinutesPerAthleteWeek*weeksPerMonth</f>
        <v>64.95</v>
      </c>
    </row>
    <row r="7" customFormat="false" ht="15" hidden="false" customHeight="false" outlineLevel="0" collapsed="false">
      <c r="A7" s="2" t="s">
        <v>148</v>
      </c>
      <c r="B7" s="10" t="n">
        <f aca="false">B6-B5</f>
        <v>52.3458888888889</v>
      </c>
      <c r="C7" s="10" t="n">
        <f aca="false">C6-C5</f>
        <v>49.5198099173554</v>
      </c>
      <c r="D7" s="10" t="n">
        <f aca="false">D6-D5</f>
        <v>46.5216007151371</v>
      </c>
      <c r="E7" s="10" t="n">
        <f aca="false">E6-E5</f>
        <v>52.3458888888889</v>
      </c>
      <c r="F7" s="10" t="n">
        <f aca="false">F6-F5</f>
        <v>49.5198099173554</v>
      </c>
      <c r="G7" s="10" t="n">
        <f aca="false">G6-G5</f>
        <v>46.5216007151371</v>
      </c>
    </row>
    <row r="8" customFormat="false" ht="15" hidden="false" customHeight="false" outlineLevel="0" collapsed="false">
      <c r="A8" s="2" t="s">
        <v>149</v>
      </c>
      <c r="B8" s="7" t="n">
        <f aca="false">B7/60*B2</f>
        <v>12.1762656316116</v>
      </c>
      <c r="C8" s="7" t="n">
        <f aca="false">C7/60*C2</f>
        <v>11.518886628528</v>
      </c>
      <c r="D8" s="7" t="n">
        <f aca="false">D7/60*D2</f>
        <v>10.8214681217405</v>
      </c>
      <c r="E8" s="7" t="n">
        <f aca="false">E7/60*E2</f>
        <v>38.5671422861111</v>
      </c>
      <c r="F8" s="7" t="n">
        <f aca="false">F7/60*F2</f>
        <v>36.4849579518595</v>
      </c>
      <c r="G8" s="7" t="n">
        <f aca="false">G7/60*G2</f>
        <v>34.2759523668951</v>
      </c>
    </row>
    <row r="9" customFormat="false" ht="15" hidden="false" customHeight="false" outlineLevel="0" collapsed="false">
      <c r="A9" s="2" t="s">
        <v>150</v>
      </c>
      <c r="B9" s="11" t="n">
        <f aca="false">IFERROR(B8/pricePerAthleteMonthUsd,0)</f>
        <v>1.52203320395145</v>
      </c>
      <c r="C9" s="11" t="n">
        <f aca="false">IFERROR(C8/pricePerAthleteMonthUsd,0)</f>
        <v>1.439860828566</v>
      </c>
      <c r="D9" s="11" t="n">
        <f aca="false">IFERROR(D8/pricePerAthleteMonthUsd,0)</f>
        <v>1.35268351521756</v>
      </c>
      <c r="E9" s="11" t="n">
        <f aca="false">IFERROR(E8/pricePerAthleteMonthUsd,0)</f>
        <v>4.82089278576389</v>
      </c>
      <c r="F9" s="11" t="n">
        <f aca="false">IFERROR(F8/pricePerAthleteMonthUsd,0)</f>
        <v>4.56061974398244</v>
      </c>
      <c r="G9" s="11" t="n">
        <f aca="false">IFERROR(G8/pricePerAthleteMonthUsd,0)</f>
        <v>4.28449404586189</v>
      </c>
    </row>
    <row r="10" customFormat="false" ht="15" hidden="false" customHeight="false" outlineLevel="0" collapsed="false">
      <c r="A10" s="2" t="s">
        <v>151</v>
      </c>
      <c r="B10" s="12" t="n">
        <f aca="false">IFERROR(coachProgrammingHoursPerWeek*60*weeksPerMonth/B6,0)</f>
        <v>40</v>
      </c>
      <c r="C10" s="12" t="n">
        <f aca="false">IFERROR(coachProgrammingHoursPerWeek*60*weeksPerMonth/C6,0)</f>
        <v>40</v>
      </c>
      <c r="D10" s="12" t="n">
        <f aca="false">IFERROR(coachProgrammingHoursPerWeek*60*weeksPerMonth/D6,0)</f>
        <v>40</v>
      </c>
      <c r="E10" s="12" t="n">
        <f aca="false">IFERROR(coachProgrammingHoursPerWeek*60*weeksPerMonth/E6,0)</f>
        <v>40</v>
      </c>
      <c r="F10" s="12" t="n">
        <f aca="false">IFERROR(coachProgrammingHoursPerWeek*60*weeksPerMonth/F6,0)</f>
        <v>40</v>
      </c>
      <c r="G10" s="12" t="n">
        <f aca="false">IFERROR(coachProgrammingHoursPerWeek*60*weeksPerMonth/G6,0)</f>
        <v>40</v>
      </c>
    </row>
    <row r="11" customFormat="false" ht="15" hidden="false" customHeight="false" outlineLevel="0" collapsed="false">
      <c r="A11" s="2" t="s">
        <v>152</v>
      </c>
      <c r="B11" s="12" t="n">
        <f aca="false">IFERROR(coachProgrammingHoursPerWeek*60*weeksPerMonth/B5,0)</f>
        <v>206.123222581697</v>
      </c>
      <c r="C11" s="12" t="n">
        <f aca="false">IFERROR(coachProgrammingHoursPerWeek*60*weeksPerMonth/C5,0)</f>
        <v>168.371224598338</v>
      </c>
      <c r="D11" s="12" t="n">
        <f aca="false">IFERROR(coachProgrammingHoursPerWeek*60*weeksPerMonth/D5,0)</f>
        <v>140.978061080649</v>
      </c>
      <c r="E11" s="12" t="n">
        <f aca="false">IFERROR(coachProgrammingHoursPerWeek*60*weeksPerMonth/E5,0)</f>
        <v>206.123222581697</v>
      </c>
      <c r="F11" s="12" t="n">
        <f aca="false">IFERROR(coachProgrammingHoursPerWeek*60*weeksPerMonth/F5,0)</f>
        <v>168.371224598338</v>
      </c>
      <c r="G11" s="12" t="n">
        <f aca="false">IFERROR(coachProgrammingHoursPerWeek*60*weeksPerMonth/G5,0)</f>
        <v>140.978061080649</v>
      </c>
    </row>
    <row r="12" customFormat="false" ht="15" hidden="false" customHeight="false" outlineLevel="0" collapsed="false">
      <c r="A12" s="2" t="s">
        <v>153</v>
      </c>
      <c r="B12" s="7" t="n">
        <f aca="false">llmCallsPerAthleteMonth*(llmTokensInPerProposal*priceInPer1M+llmTokensOutPerProposal*priceOutPer1M)/1000000</f>
        <v>0.2016</v>
      </c>
      <c r="C12" s="7" t="n">
        <f aca="false">llmCallsPerAthleteMonth*(llmTokensInPerProposal*priceInPer1M+llmTokensOutPerProposal*priceOutPer1M)/1000000</f>
        <v>0.2016</v>
      </c>
      <c r="D12" s="7" t="n">
        <f aca="false">llmCallsPerAthleteMonth*(llmTokensInPerProposal*priceInPer1M+llmTokensOutPerProposal*priceOutPer1M)/1000000</f>
        <v>0.2016</v>
      </c>
      <c r="E12" s="7" t="n">
        <f aca="false">llmCallsPerAthleteMonth*(llmTokensInPerProposal*priceInPer1M+llmTokensOutPerProposal*priceOutPer1M)/1000000</f>
        <v>0.2016</v>
      </c>
      <c r="F12" s="7" t="n">
        <f aca="false">llmCallsPerAthleteMonth*(llmTokensInPerProposal*priceInPer1M+llmTokensOutPerProposal*priceOutPer1M)/1000000</f>
        <v>0.2016</v>
      </c>
      <c r="G12" s="7" t="n">
        <f aca="false">llmCallsPerAthleteMonth*(llmTokensInPerProposal*priceInPer1M+llmTokensOutPerProposal*priceOutPer1M)/1000000</f>
        <v>0.2016</v>
      </c>
    </row>
    <row r="13" customFormat="false" ht="15" hidden="false" customHeight="false" outlineLevel="0" collapsed="false">
      <c r="A13" s="2" t="s">
        <v>154</v>
      </c>
      <c r="B13" s="6" t="n">
        <f aca="false">IFERROR(1-(B12+infraPerAthleteMonthUsd+pricePerAthleteMonthUsd*paymentFeeRate)/pricePerAthleteMonthUsd,0)</f>
        <v>0.92605</v>
      </c>
      <c r="C13" s="6" t="n">
        <f aca="false">IFERROR(1-(C12+infraPerAthleteMonthUsd+pricePerAthleteMonthUsd*paymentFeeRate)/pricePerAthleteMonthUsd,0)</f>
        <v>0.92605</v>
      </c>
      <c r="D13" s="6" t="n">
        <f aca="false">IFERROR(1-(D12+infraPerAthleteMonthUsd+pricePerAthleteMonthUsd*paymentFeeRate)/pricePerAthleteMonthUsd,0)</f>
        <v>0.92605</v>
      </c>
      <c r="E13" s="6" t="n">
        <f aca="false">IFERROR(1-(E12+infraPerAthleteMonthUsd+pricePerAthleteMonthUsd*paymentFeeRate)/pricePerAthleteMonthUsd,0)</f>
        <v>0.92605</v>
      </c>
      <c r="F13" s="6" t="n">
        <f aca="false">IFERROR(1-(F12+infraPerAthleteMonthUsd+pricePerAthleteMonthUsd*paymentFeeRate)/pricePerAthleteMonthUsd,0)</f>
        <v>0.92605</v>
      </c>
      <c r="G13" s="6" t="n">
        <f aca="false">IFERROR(1-(G12+infraPerAthleteMonthUsd+pricePerAthleteMonthUsd*paymentFeeRate)/pricePerAthleteMonthUsd,0)</f>
        <v>0.92605</v>
      </c>
    </row>
    <row r="14" customFormat="false" ht="15" hidden="false" customHeight="false" outlineLevel="0" collapsed="false">
      <c r="A14" s="2" t="s">
        <v>155</v>
      </c>
      <c r="B14" s="7" t="n">
        <f aca="false">B5/60*B2</f>
        <v>2.93186357509371</v>
      </c>
      <c r="C14" s="7" t="n">
        <f aca="false">C5/60*C2</f>
        <v>3.58924257817733</v>
      </c>
      <c r="D14" s="7" t="n">
        <f aca="false">D5/60*D2</f>
        <v>4.28666108496482</v>
      </c>
      <c r="E14" s="7" t="n">
        <f aca="false">E5/60*E2</f>
        <v>9.28639396388889</v>
      </c>
      <c r="F14" s="7" t="n">
        <f aca="false">F5/60*F2</f>
        <v>11.3685782981405</v>
      </c>
      <c r="G14" s="7" t="n">
        <f aca="false">G5/60*G2</f>
        <v>13.5775838831049</v>
      </c>
    </row>
    <row r="15" customFormat="false" ht="15" hidden="false" customHeight="false" outlineLevel="0" collapsed="false">
      <c r="A15" s="2" t="s">
        <v>156</v>
      </c>
      <c r="B15" s="7" t="n">
        <f aca="false">IFERROR((B14+B12+infraPerAthleteMonthUsd)/(1-targetGrossMargin-paymentFeeRate),0)</f>
        <v>12.1609762040508</v>
      </c>
      <c r="C15" s="7" t="n">
        <f aca="false">IFERROR((C14+C12+infraPerAthleteMonthUsd)/(1-targetGrossMargin-paymentFeeRate),0)</f>
        <v>14.5957132525086</v>
      </c>
      <c r="D15" s="7" t="n">
        <f aca="false">IFERROR((D14+D12+infraPerAthleteMonthUsd)/(1-targetGrossMargin-paymentFeeRate),0)</f>
        <v>17.1787447591289</v>
      </c>
      <c r="E15" s="7" t="n">
        <f aca="false">IFERROR((E14+E12+infraPerAthleteMonthUsd)/(1-targetGrossMargin-paymentFeeRate),0)</f>
        <v>35.6962739403292</v>
      </c>
      <c r="F15" s="7" t="n">
        <f aca="false">IFERROR((F14+F12+infraPerAthleteMonthUsd)/(1-targetGrossMargin-paymentFeeRate),0)</f>
        <v>43.4080677708907</v>
      </c>
      <c r="G15" s="7" t="n">
        <f aca="false">IFERROR((G14+G12+infraPerAthleteMonthUsd)/(1-targetGrossMargin-paymentFeeRate),0)</f>
        <v>51.5895699374255</v>
      </c>
    </row>
    <row r="16" customFormat="false" ht="15" hidden="false" customHeight="false" outlineLevel="0" collapsed="false">
      <c r="A16" s="2" t="s">
        <v>157</v>
      </c>
      <c r="B16" s="13" t="n">
        <f aca="false">pricePerAthleteMonthUsd*fxAedPerUsd</f>
        <v>29.38</v>
      </c>
      <c r="C16" s="13" t="n">
        <f aca="false">pricePerAthleteMonthUsd*fxAedPerUsd</f>
        <v>29.38</v>
      </c>
      <c r="D16" s="13" t="n">
        <f aca="false">pricePerAthleteMonthUsd*fxAedPerUsd</f>
        <v>29.38</v>
      </c>
      <c r="E16" s="13" t="n">
        <f aca="false">pricePerAthleteMonthUsd*fxAedPerUsd</f>
        <v>29.38</v>
      </c>
      <c r="F16" s="13" t="n">
        <f aca="false">pricePerAthleteMonthUsd*fxAedPerUsd</f>
        <v>29.38</v>
      </c>
      <c r="G16" s="13" t="n">
        <f aca="false">pricePerAthleteMonthUsd*fxAedPerUsd</f>
        <v>29.38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3" t="s">
        <v>158</v>
      </c>
      <c r="B1" s="3" t="s">
        <v>159</v>
      </c>
    </row>
    <row r="2" customFormat="false" ht="15" hidden="false" customHeight="false" outlineLevel="0" collapsed="false">
      <c r="A2" s="2" t="s">
        <v>160</v>
      </c>
      <c r="B2" s="14" t="n">
        <f aca="false">arrTargetUsd</f>
        <v>1000000</v>
      </c>
    </row>
    <row r="3" customFormat="false" ht="15" hidden="false" customHeight="false" outlineLevel="0" collapsed="false">
      <c r="A3" s="2" t="s">
        <v>161</v>
      </c>
      <c r="B3" s="13" t="n">
        <f aca="false">IFERROR(arrTargetUsd/(12*pricePerAthleteMonthUsd),0)</f>
        <v>10416.6666666667</v>
      </c>
    </row>
    <row r="4" customFormat="false" ht="15" hidden="false" customHeight="false" outlineLevel="0" collapsed="false">
      <c r="A4" s="2" t="s">
        <v>162</v>
      </c>
      <c r="B4" s="13" t="n">
        <f aca="false">IFERROR(B3/athletesPerClub,0)</f>
        <v>347.222222222222</v>
      </c>
    </row>
    <row r="5" customFormat="false" ht="15" hidden="false" customHeight="false" outlineLevel="0" collapsed="false">
      <c r="A5" s="2" t="s">
        <v>163</v>
      </c>
      <c r="B5" s="6" t="n">
        <f aca="false">IFERROR(B4/hyroxGyms,0)</f>
        <v>0.0231481481481481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70"/>
    <col collapsed="false" customWidth="true" hidden="false" outlineLevel="0" max="5" min="4" style="0" width="6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7</v>
      </c>
      <c r="B1" s="3" t="s">
        <v>164</v>
      </c>
      <c r="C1" s="3" t="s">
        <v>165</v>
      </c>
      <c r="D1" s="3" t="s">
        <v>166</v>
      </c>
      <c r="E1" s="3" t="s">
        <v>167</v>
      </c>
      <c r="F1" s="3" t="s">
        <v>168</v>
      </c>
    </row>
    <row r="2" customFormat="false" ht="15" hidden="false" customHeight="false" outlineLevel="0" collapsed="false">
      <c r="A2" s="2" t="s">
        <v>169</v>
      </c>
      <c r="B2" s="2" t="s">
        <v>170</v>
      </c>
      <c r="C2" s="2" t="s">
        <v>171</v>
      </c>
      <c r="D2" s="2" t="s">
        <v>172</v>
      </c>
      <c r="E2" s="2" t="s">
        <v>173</v>
      </c>
      <c r="F2" s="2" t="s">
        <v>174</v>
      </c>
    </row>
    <row r="3" customFormat="false" ht="15" hidden="false" customHeight="false" outlineLevel="0" collapsed="false">
      <c r="A3" s="2" t="s">
        <v>175</v>
      </c>
      <c r="B3" s="2" t="s">
        <v>170</v>
      </c>
      <c r="C3" s="2" t="s">
        <v>176</v>
      </c>
      <c r="D3" s="2" t="s">
        <v>177</v>
      </c>
      <c r="E3" s="2" t="s">
        <v>173</v>
      </c>
      <c r="F3" s="2" t="s">
        <v>174</v>
      </c>
    </row>
    <row r="4" customFormat="false" ht="15" hidden="false" customHeight="false" outlineLevel="0" collapsed="false">
      <c r="A4" s="2" t="s">
        <v>178</v>
      </c>
      <c r="B4" s="2" t="s">
        <v>170</v>
      </c>
      <c r="C4" s="2" t="s">
        <v>179</v>
      </c>
      <c r="D4" s="2" t="s">
        <v>177</v>
      </c>
      <c r="E4" s="2" t="s">
        <v>173</v>
      </c>
      <c r="F4" s="2" t="s">
        <v>174</v>
      </c>
    </row>
    <row r="5" customFormat="false" ht="15" hidden="false" customHeight="false" outlineLevel="0" collapsed="false">
      <c r="A5" s="2" t="s">
        <v>180</v>
      </c>
      <c r="B5" s="2" t="s">
        <v>170</v>
      </c>
      <c r="C5" s="2" t="s">
        <v>181</v>
      </c>
      <c r="D5" s="2" t="s">
        <v>182</v>
      </c>
      <c r="E5" s="2" t="s">
        <v>173</v>
      </c>
      <c r="F5" s="2" t="s">
        <v>174</v>
      </c>
    </row>
    <row r="6" customFormat="false" ht="15" hidden="false" customHeight="false" outlineLevel="0" collapsed="false">
      <c r="A6" s="2" t="s">
        <v>183</v>
      </c>
      <c r="B6" s="2" t="s">
        <v>170</v>
      </c>
      <c r="C6" s="2" t="s">
        <v>184</v>
      </c>
      <c r="D6" s="2" t="s">
        <v>185</v>
      </c>
      <c r="E6" s="2" t="s">
        <v>186</v>
      </c>
      <c r="F6" s="2" t="s">
        <v>174</v>
      </c>
    </row>
    <row r="7" customFormat="false" ht="15" hidden="false" customHeight="false" outlineLevel="0" collapsed="false">
      <c r="A7" s="2" t="s">
        <v>187</v>
      </c>
      <c r="B7" s="2" t="s">
        <v>170</v>
      </c>
      <c r="C7" s="2" t="s">
        <v>188</v>
      </c>
      <c r="D7" s="2" t="s">
        <v>189</v>
      </c>
      <c r="E7" s="2" t="s">
        <v>190</v>
      </c>
      <c r="F7" s="2" t="s">
        <v>174</v>
      </c>
    </row>
    <row r="8" customFormat="false" ht="15" hidden="false" customHeight="false" outlineLevel="0" collapsed="false">
      <c r="A8" s="2" t="s">
        <v>191</v>
      </c>
      <c r="B8" s="2" t="s">
        <v>170</v>
      </c>
      <c r="C8" s="2" t="s">
        <v>192</v>
      </c>
      <c r="D8" s="2" t="s">
        <v>193</v>
      </c>
      <c r="E8" s="2" t="s">
        <v>194</v>
      </c>
      <c r="F8" s="2" t="s">
        <v>174</v>
      </c>
    </row>
    <row r="9" customFormat="false" ht="15" hidden="false" customHeight="false" outlineLevel="0" collapsed="false">
      <c r="A9" s="2" t="s">
        <v>195</v>
      </c>
      <c r="B9" s="2" t="s">
        <v>196</v>
      </c>
      <c r="C9" s="2" t="s">
        <v>197</v>
      </c>
      <c r="D9" s="2" t="s">
        <v>198</v>
      </c>
      <c r="E9" s="2" t="s">
        <v>199</v>
      </c>
      <c r="F9" s="2" t="s">
        <v>174</v>
      </c>
    </row>
    <row r="10" customFormat="false" ht="15" hidden="false" customHeight="false" outlineLevel="0" collapsed="false">
      <c r="A10" s="2" t="s">
        <v>200</v>
      </c>
      <c r="B10" s="2" t="s">
        <v>201</v>
      </c>
      <c r="C10" s="2" t="s">
        <v>202</v>
      </c>
      <c r="D10" s="2" t="s">
        <v>203</v>
      </c>
      <c r="E10" s="2" t="s">
        <v>204</v>
      </c>
      <c r="F10" s="2" t="s">
        <v>174</v>
      </c>
    </row>
    <row r="11" customFormat="false" ht="15" hidden="false" customHeight="false" outlineLevel="0" collapsed="false">
      <c r="A11" s="2" t="s">
        <v>205</v>
      </c>
      <c r="B11" s="2" t="s">
        <v>196</v>
      </c>
      <c r="C11" s="2" t="s">
        <v>206</v>
      </c>
      <c r="D11" s="2" t="s">
        <v>207</v>
      </c>
      <c r="E11" s="2" t="s">
        <v>208</v>
      </c>
      <c r="F11" s="2" t="s">
        <v>174</v>
      </c>
    </row>
    <row r="12" customFormat="false" ht="15" hidden="false" customHeight="false" outlineLevel="0" collapsed="false">
      <c r="A12" s="2" t="s">
        <v>209</v>
      </c>
      <c r="B12" s="2" t="s">
        <v>196</v>
      </c>
      <c r="C12" s="2" t="s">
        <v>210</v>
      </c>
      <c r="D12" s="2" t="s">
        <v>211</v>
      </c>
      <c r="E12" s="2" t="s">
        <v>208</v>
      </c>
      <c r="F12" s="2" t="s">
        <v>174</v>
      </c>
    </row>
    <row r="13" customFormat="false" ht="15" hidden="false" customHeight="false" outlineLevel="0" collapsed="false">
      <c r="A13" s="2" t="s">
        <v>212</v>
      </c>
      <c r="B13" s="2" t="s">
        <v>196</v>
      </c>
      <c r="C13" s="2" t="s">
        <v>213</v>
      </c>
      <c r="D13" s="2" t="s">
        <v>214</v>
      </c>
      <c r="E13" s="2" t="s">
        <v>204</v>
      </c>
      <c r="F13" s="2" t="s">
        <v>174</v>
      </c>
    </row>
    <row r="14" customFormat="false" ht="15" hidden="false" customHeight="false" outlineLevel="0" collapsed="false">
      <c r="A14" s="2" t="s">
        <v>215</v>
      </c>
      <c r="B14" s="2" t="s">
        <v>201</v>
      </c>
      <c r="C14" s="2" t="s">
        <v>216</v>
      </c>
      <c r="D14" s="2" t="s">
        <v>217</v>
      </c>
      <c r="E14" s="2" t="s">
        <v>204</v>
      </c>
      <c r="F14" s="2" t="s">
        <v>174</v>
      </c>
    </row>
    <row r="15" customFormat="false" ht="15" hidden="false" customHeight="false" outlineLevel="0" collapsed="false">
      <c r="A15" s="2" t="s">
        <v>218</v>
      </c>
      <c r="B15" s="2" t="s">
        <v>201</v>
      </c>
      <c r="C15" s="2" t="s">
        <v>219</v>
      </c>
      <c r="D15" s="2" t="s">
        <v>220</v>
      </c>
      <c r="E15" s="2" t="s">
        <v>221</v>
      </c>
      <c r="F15" s="2" t="s">
        <v>174</v>
      </c>
    </row>
    <row r="16" customFormat="false" ht="15" hidden="false" customHeight="false" outlineLevel="0" collapsed="false">
      <c r="A16" s="2" t="s">
        <v>222</v>
      </c>
      <c r="B16" s="2" t="s">
        <v>170</v>
      </c>
      <c r="C16" s="2" t="s">
        <v>223</v>
      </c>
      <c r="D16" s="2" t="s">
        <v>224</v>
      </c>
      <c r="E16" s="2" t="s">
        <v>225</v>
      </c>
      <c r="F16" s="2" t="s">
        <v>174</v>
      </c>
    </row>
    <row r="17" customFormat="false" ht="15" hidden="false" customHeight="false" outlineLevel="0" collapsed="false">
      <c r="A17" s="2" t="s">
        <v>226</v>
      </c>
      <c r="B17" s="2" t="s">
        <v>170</v>
      </c>
      <c r="C17" s="2" t="s">
        <v>227</v>
      </c>
      <c r="D17" s="2" t="s">
        <v>228</v>
      </c>
      <c r="E17" s="2" t="s">
        <v>229</v>
      </c>
      <c r="F17" s="2" t="s">
        <v>174</v>
      </c>
    </row>
    <row r="18" customFormat="false" ht="15" hidden="false" customHeight="false" outlineLevel="0" collapsed="false">
      <c r="A18" s="2" t="s">
        <v>230</v>
      </c>
      <c r="B18" s="2" t="s">
        <v>170</v>
      </c>
      <c r="C18" s="2" t="s">
        <v>231</v>
      </c>
      <c r="D18" s="2" t="s">
        <v>232</v>
      </c>
      <c r="E18" s="2" t="s">
        <v>233</v>
      </c>
      <c r="F18" s="2" t="s">
        <v>174</v>
      </c>
    </row>
    <row r="19" customFormat="false" ht="15" hidden="false" customHeight="false" outlineLevel="0" collapsed="false">
      <c r="A19" s="2" t="s">
        <v>234</v>
      </c>
      <c r="B19" s="2" t="s">
        <v>170</v>
      </c>
      <c r="C19" s="2" t="s">
        <v>235</v>
      </c>
      <c r="D19" s="2" t="s">
        <v>236</v>
      </c>
      <c r="E19" s="2" t="s">
        <v>237</v>
      </c>
      <c r="F19" s="2" t="s">
        <v>174</v>
      </c>
    </row>
    <row r="20" customFormat="false" ht="15" hidden="false" customHeight="false" outlineLevel="0" collapsed="false">
      <c r="A20" s="2" t="s">
        <v>238</v>
      </c>
      <c r="B20" s="2" t="s">
        <v>170</v>
      </c>
      <c r="C20" s="2" t="s">
        <v>239</v>
      </c>
      <c r="D20" s="2" t="s">
        <v>240</v>
      </c>
      <c r="E20" s="2" t="s">
        <v>241</v>
      </c>
      <c r="F20" s="2" t="s">
        <v>174</v>
      </c>
    </row>
    <row r="21" customFormat="false" ht="15" hidden="false" customHeight="false" outlineLevel="0" collapsed="false">
      <c r="A21" s="2" t="s">
        <v>242</v>
      </c>
      <c r="B21" s="2" t="s">
        <v>170</v>
      </c>
      <c r="C21" s="2" t="s">
        <v>243</v>
      </c>
      <c r="D21" s="2" t="s">
        <v>244</v>
      </c>
      <c r="E21" s="2" t="s">
        <v>245</v>
      </c>
      <c r="F21" s="2" t="s">
        <v>174</v>
      </c>
    </row>
    <row r="22" customFormat="false" ht="15" hidden="false" customHeight="false" outlineLevel="0" collapsed="false">
      <c r="A22" s="2" t="s">
        <v>246</v>
      </c>
      <c r="B22" s="2" t="s">
        <v>201</v>
      </c>
      <c r="C22" s="2" t="s">
        <v>247</v>
      </c>
      <c r="D22" s="2" t="s">
        <v>248</v>
      </c>
      <c r="E22" s="2" t="s">
        <v>249</v>
      </c>
      <c r="F22" s="2" t="s">
        <v>174</v>
      </c>
    </row>
    <row r="23" customFormat="false" ht="15" hidden="false" customHeight="false" outlineLevel="0" collapsed="false">
      <c r="A23" s="2" t="s">
        <v>250</v>
      </c>
      <c r="B23" s="2" t="s">
        <v>170</v>
      </c>
      <c r="C23" s="2" t="s">
        <v>251</v>
      </c>
      <c r="D23" s="2" t="s">
        <v>252</v>
      </c>
      <c r="E23" s="2" t="s">
        <v>253</v>
      </c>
      <c r="F23" s="2" t="s">
        <v>174</v>
      </c>
    </row>
    <row r="24" customFormat="false" ht="15" hidden="false" customHeight="false" outlineLevel="0" collapsed="false">
      <c r="A24" s="2" t="s">
        <v>254</v>
      </c>
      <c r="B24" s="2" t="s">
        <v>201</v>
      </c>
      <c r="C24" s="2" t="s">
        <v>255</v>
      </c>
      <c r="D24" s="2" t="s">
        <v>256</v>
      </c>
      <c r="E24" s="2" t="s">
        <v>257</v>
      </c>
      <c r="F24" s="2" t="s">
        <v>174</v>
      </c>
    </row>
    <row r="25" customFormat="false" ht="15" hidden="false" customHeight="false" outlineLevel="0" collapsed="false">
      <c r="A25" s="2" t="s">
        <v>258</v>
      </c>
      <c r="B25" s="2" t="s">
        <v>170</v>
      </c>
      <c r="C25" s="2" t="s">
        <v>259</v>
      </c>
      <c r="D25" s="2" t="s">
        <v>260</v>
      </c>
      <c r="E25" s="2" t="s">
        <v>261</v>
      </c>
      <c r="F25" s="2" t="s">
        <v>174</v>
      </c>
    </row>
    <row r="26" customFormat="false" ht="15" hidden="false" customHeight="false" outlineLevel="0" collapsed="false">
      <c r="A26" s="2" t="s">
        <v>262</v>
      </c>
      <c r="B26" s="2" t="s">
        <v>170</v>
      </c>
      <c r="C26" s="2" t="s">
        <v>263</v>
      </c>
      <c r="D26" s="2" t="s">
        <v>264</v>
      </c>
      <c r="E26" s="2" t="s">
        <v>265</v>
      </c>
      <c r="F26" s="2" t="s">
        <v>174</v>
      </c>
    </row>
    <row r="27" customFormat="false" ht="15" hidden="false" customHeight="false" outlineLevel="0" collapsed="false">
      <c r="A27" s="2" t="s">
        <v>266</v>
      </c>
      <c r="B27" s="2" t="s">
        <v>170</v>
      </c>
      <c r="C27" s="2" t="s">
        <v>267</v>
      </c>
      <c r="D27" s="2" t="s">
        <v>268</v>
      </c>
      <c r="E27" s="2" t="s">
        <v>269</v>
      </c>
      <c r="F27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2026-09-23T22:03:16Z</dcterms:created>
  <dc:creator>openpyxl</dc:creator>
  <dc:description/>
  <dc:language>en-US</dc:language>
  <cp:lastModifiedBy/>
  <dcterms:modified xsi:type="dcterms:W3CDTF">2026-09-23T22:03:16Z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